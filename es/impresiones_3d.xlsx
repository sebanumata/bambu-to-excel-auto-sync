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resiones" sheetId="1" state="visible" r:id="rId1"/>
    <sheet name="Resumen" sheetId="2" state="visible" r:id="rId2"/>
  </sheets>
  <definedNames>
    <definedName name="_xlnm._FilterDatabase" localSheetId="0" hidden="1">'Impresiones'!$A$1:$H$1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4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0" borderId="0" pivotButton="0" quotePrefix="0" xfId="0"/>
    <xf numFmtId="164" fontId="4" fillId="0" borderId="0" pivotButton="0" quotePrefix="0" xfId="0"/>
    <xf numFmtId="0" fontId="3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55" customWidth="1" min="4" max="4"/>
    <col width="10" customWidth="1" min="5" max="5"/>
    <col width="16" customWidth="1" min="6" max="6"/>
    <col width="9" customWidth="1" min="7" max="7"/>
    <col width="13" customWidth="1" min="8" max="8"/>
  </cols>
  <sheetData>
    <row r="1">
      <c r="A1" s="1" t="inlineStr">
        <is>
          <t>#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Archivo</t>
        </is>
      </c>
      <c r="E1" s="1" t="inlineStr">
        <is>
          <t>Duración</t>
        </is>
      </c>
      <c r="F1" s="1" t="inlineStr">
        <is>
          <t>Impresora</t>
        </is>
      </c>
      <c r="G1" s="1" t="inlineStr">
        <is>
          <t>Placa</t>
        </is>
      </c>
      <c r="H1" s="1" t="inlineStr">
        <is>
          <t>Estado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</cols>
  <sheetData>
    <row r="1">
      <c r="A1" s="2" t="inlineStr">
        <is>
          <t>Resumen de Impresiones</t>
        </is>
      </c>
    </row>
    <row r="3">
      <c r="A3" s="3" t="inlineStr">
        <is>
          <t>Estado</t>
        </is>
      </c>
      <c r="B3" s="3" t="inlineStr">
        <is>
          <t>Cantidad</t>
        </is>
      </c>
      <c r="C3" s="3" t="inlineStr">
        <is>
          <t>%</t>
        </is>
      </c>
    </row>
    <row r="4">
      <c r="A4" s="4" t="inlineStr">
        <is>
          <t>Éxito</t>
        </is>
      </c>
      <c r="B4" s="4">
        <f>COUNTIF(Impresiones!H:H,"Éxito")</f>
        <v/>
      </c>
      <c r="C4" s="5">
        <f>B4/$B$7</f>
        <v/>
      </c>
    </row>
    <row r="5">
      <c r="A5" s="4" t="inlineStr">
        <is>
          <t>Cancelado</t>
        </is>
      </c>
      <c r="B5" s="4">
        <f>COUNTIF(Impresiones!H:H,"Cancelado")</f>
        <v/>
      </c>
      <c r="C5" s="5">
        <f>B5/$B$7</f>
        <v/>
      </c>
    </row>
    <row r="6">
      <c r="A6" s="4" t="inlineStr">
        <is>
          <t>Imprimiendo</t>
        </is>
      </c>
      <c r="B6" s="4">
        <f>COUNTIF(Impresiones!H:H,"Imprimiendo")</f>
        <v/>
      </c>
      <c r="C6" s="5">
        <f>B6/$B$7</f>
        <v/>
      </c>
    </row>
    <row r="7">
      <c r="A7" s="6" t="inlineStr">
        <is>
          <t>Total</t>
        </is>
      </c>
      <c r="B7" s="6">
        <f>SUM(B4:B6)</f>
        <v/>
      </c>
      <c r="C7" s="4" t="n"/>
    </row>
    <row r="8">
      <c r="A8" s="4" t="n"/>
      <c r="B8" s="4" t="n"/>
      <c r="C8" s="4" t="n"/>
    </row>
    <row r="9">
      <c r="A9" s="4" t="inlineStr">
        <is>
          <t>Primera impresión:</t>
        </is>
      </c>
      <c r="B9" s="7">
        <f>MIN(Impresiones!B:B)</f>
        <v/>
      </c>
      <c r="C9" s="4" t="n"/>
    </row>
    <row r="10">
      <c r="A10" s="4" t="inlineStr">
        <is>
          <t>Última impresión:</t>
        </is>
      </c>
      <c r="B10" s="7">
        <f>MAX(Impresiones!B:B)</f>
        <v/>
      </c>
      <c r="C10" s="4" t="n"/>
    </row>
    <row r="11">
      <c r="A11" s="4" t="inlineStr">
        <is>
          <t>Total de impresiones:</t>
        </is>
      </c>
      <c r="B11" s="4">
        <f>COUNTA(Impresiones!A:A)-1</f>
        <v/>
      </c>
      <c r="C11" s="4" t="n"/>
    </row>
    <row r="12">
      <c r="A12" s="4" t="n"/>
      <c r="B12" s="4" t="n"/>
      <c r="C12" s="4" t="n"/>
    </row>
    <row r="13">
      <c r="A13" s="4" t="inlineStr">
        <is>
          <t>Última sincronización:</t>
        </is>
      </c>
      <c r="B13" s="4" t="inlineStr">
        <is>
          <t>15/09/2026 22:25</t>
        </is>
      </c>
      <c r="C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2026-09-16T01:25:22Z</dcterms:created>
  <dcterms:modified xsi:type="dcterms:W3CDTF">2026-09-16T01:25:22Z</dcterms:modified>
</cp:coreProperties>
</file>